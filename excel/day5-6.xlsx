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A6181C92-077C-40C8-9B2C-F500ADFFA574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ales" sheetId="1" r:id="rId1"/>
    <sheet name="Report" sheetId="3" r:id="rId2"/>
  </sheets>
  <definedNames>
    <definedName name="_xlnm._FilterDatabase" localSheetId="0" hidden="1">Sales!$A$1:$N$31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/>
  <c r="K2" i="1" a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C6" i="3"/>
  <c r="C5" i="3"/>
  <c r="C4" i="3"/>
  <c r="C3" i="3"/>
  <c r="C1" i="3"/>
  <c r="C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<sst xmlns="http://schemas.openxmlformats.org/spreadsheetml/2006/main" count="264" uniqueCount="86">
  <si>
    <t>Date</t>
  </si>
  <si>
    <t>Region</t>
  </si>
  <si>
    <t>State</t>
  </si>
  <si>
    <t>Salesperson</t>
  </si>
  <si>
    <t>Category</t>
  </si>
  <si>
    <t>Product</t>
  </si>
  <si>
    <t>Units</t>
  </si>
  <si>
    <t>Unit Price</t>
  </si>
  <si>
    <t>Sales</t>
  </si>
  <si>
    <t>High/Standard</t>
  </si>
  <si>
    <t>E/H/M/L</t>
  </si>
  <si>
    <t>Channel</t>
  </si>
  <si>
    <t>Status</t>
  </si>
  <si>
    <t>Sales Tier</t>
  </si>
  <si>
    <t>East</t>
  </si>
  <si>
    <t>New York</t>
  </si>
  <si>
    <t>Alex</t>
  </si>
  <si>
    <t>Electronics</t>
  </si>
  <si>
    <t>Laptop</t>
  </si>
  <si>
    <t>Online</t>
  </si>
  <si>
    <t>Completed</t>
  </si>
  <si>
    <t>High</t>
  </si>
  <si>
    <t>West</t>
  </si>
  <si>
    <t>California</t>
  </si>
  <si>
    <t>Mia</t>
  </si>
  <si>
    <t>Office</t>
  </si>
  <si>
    <t>Desk Chair</t>
  </si>
  <si>
    <t>Retail</t>
  </si>
  <si>
    <t>Standard</t>
  </si>
  <si>
    <t>South</t>
  </si>
  <si>
    <t>Texas</t>
  </si>
  <si>
    <t>Noah</t>
  </si>
  <si>
    <t>Monitor</t>
  </si>
  <si>
    <t>North</t>
  </si>
  <si>
    <t>Illinois</t>
  </si>
  <si>
    <t>Emma</t>
  </si>
  <si>
    <t>Printer</t>
  </si>
  <si>
    <t>Pending</t>
  </si>
  <si>
    <t>Liam</t>
  </si>
  <si>
    <t>Accessories</t>
  </si>
  <si>
    <t>Keyboard</t>
  </si>
  <si>
    <t>Washington</t>
  </si>
  <si>
    <t>Olivia</t>
  </si>
  <si>
    <t>Tablet</t>
  </si>
  <si>
    <t>Florida</t>
  </si>
  <si>
    <t>Ethan</t>
  </si>
  <si>
    <t>Headset</t>
  </si>
  <si>
    <t>Michigan</t>
  </si>
  <si>
    <t>Ava</t>
  </si>
  <si>
    <t>Desk</t>
  </si>
  <si>
    <t>Cancelled</t>
  </si>
  <si>
    <t>New Jersey</t>
  </si>
  <si>
    <t>Lucas</t>
  </si>
  <si>
    <t>Oregon</t>
  </si>
  <si>
    <t>Sophia</t>
  </si>
  <si>
    <t>Mouse</t>
  </si>
  <si>
    <t>James</t>
  </si>
  <si>
    <t>Ohio</t>
  </si>
  <si>
    <t>Isabella</t>
  </si>
  <si>
    <t>Benjamin</t>
  </si>
  <si>
    <t>Charlotte</t>
  </si>
  <si>
    <t>Henry</t>
  </si>
  <si>
    <t>Amelia</t>
  </si>
  <si>
    <t>Daniel</t>
  </si>
  <si>
    <t>Harper</t>
  </si>
  <si>
    <t>Michael</t>
  </si>
  <si>
    <t>Evelyn</t>
  </si>
  <si>
    <t>Sebastian</t>
  </si>
  <si>
    <t>Ella</t>
  </si>
  <si>
    <t>William</t>
  </si>
  <si>
    <t>Scarlett</t>
  </si>
  <si>
    <t>Jack</t>
  </si>
  <si>
    <t>Grace</t>
  </si>
  <si>
    <t>Theodore</t>
  </si>
  <si>
    <t>Chloe</t>
  </si>
  <si>
    <t>Samuel</t>
  </si>
  <si>
    <t>Victoria</t>
  </si>
  <si>
    <t>1. Total sales</t>
  </si>
  <si>
    <t>2. Average Sales Per Order</t>
  </si>
  <si>
    <t>3. Smallest Sale</t>
  </si>
  <si>
    <t>4. Largest Sale</t>
  </si>
  <si>
    <t>5. How many numeric sales</t>
  </si>
  <si>
    <t>6. How many salesperson entries</t>
  </si>
  <si>
    <t>7. High orders are &gt; $1500, otherwise Standard</t>
  </si>
  <si>
    <t>see sales</t>
  </si>
  <si>
    <t>8. Classify each order as Excellent, High, Medium,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</si>
</sst>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workbookViewId="0">
      <pane ySplit="1" topLeftCell="A2" activePane="bottomLeft" state="frozen"/>
      <selection pane="bottomLeft" activeCell="K27" sqref="K27"/>
    </sheetView>
  </sheetViews>
  <sheetFormatPr defaultRowHeight="15"/>
  <cols>
    <col min="1" max="1" width="19.5703125" bestFit="1" customWidth="1"/>
    <col min="2" max="2" width="10" customWidth="1"/>
    <col min="3" max="6" width="14" customWidth="1"/>
    <col min="7" max="7" width="10" customWidth="1"/>
    <col min="8" max="9" width="12" customWidth="1"/>
    <col min="10" max="10" width="16.5703125" style="5" bestFit="1" customWidth="1"/>
    <col min="11" max="11" width="16.5703125" style="5" customWidth="1"/>
    <col min="12" max="13" width="12" customWidth="1"/>
    <col min="14" max="14" width="14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46027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H2">
        <v>850</v>
      </c>
      <c r="I2">
        <v>1700</v>
      </c>
      <c r="J2" s="6" t="str">
        <f>IF(I2&gt;1500, "High", "Standard")</f>
        <v>High</v>
      </c>
      <c r="K2" s="6" t="str" cm="1">
        <f t="array" ref="K2">_xlfn.IFS(I2&lt;750, "Low", AND(I2&gt;=750, I2&lt;=1499), "Medium", AND(I2&gt;=1500, I2&lt;=2499), "High", I2&gt;=2500, "Excellent")</f>
        <v>High</v>
      </c>
      <c r="L2" t="s">
        <v>19</v>
      </c>
      <c r="M2" t="s">
        <v>20</v>
      </c>
      <c r="N2" t="s">
        <v>21</v>
      </c>
    </row>
    <row r="3" spans="1:14">
      <c r="A3" s="2">
        <v>46029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5</v>
      </c>
      <c r="H3">
        <v>180</v>
      </c>
      <c r="I3">
        <v>900</v>
      </c>
      <c r="J3" s="6" t="str">
        <f t="shared" ref="J3:J31" si="0">IF(I3&gt;1500, "High", "Standard")</f>
        <v>Standard</v>
      </c>
      <c r="K3" s="6" t="str" cm="1">
        <f t="array" ref="K3">_xlfn.IFS(I3&lt;750, "Low", AND(I3&gt;=750, I3&lt;=1499), "Medium", AND(I3&gt;=1500, I3&lt;=2499), "High", I3&gt;=2500, "Excellent")</f>
        <v>Medium</v>
      </c>
      <c r="L3" t="s">
        <v>27</v>
      </c>
      <c r="M3" t="s">
        <v>20</v>
      </c>
      <c r="N3" t="s">
        <v>28</v>
      </c>
    </row>
    <row r="4" spans="1:14">
      <c r="A4" s="2">
        <v>46034</v>
      </c>
      <c r="B4" t="s">
        <v>29</v>
      </c>
      <c r="C4" t="s">
        <v>30</v>
      </c>
      <c r="D4" t="s">
        <v>31</v>
      </c>
      <c r="E4" t="s">
        <v>17</v>
      </c>
      <c r="F4" t="s">
        <v>32</v>
      </c>
      <c r="G4">
        <v>4</v>
      </c>
      <c r="H4">
        <v>320</v>
      </c>
      <c r="I4">
        <v>1280</v>
      </c>
      <c r="J4" s="6" t="str">
        <f t="shared" si="0"/>
        <v>Standard</v>
      </c>
      <c r="K4" s="6" t="str" cm="1">
        <f t="array" ref="K4">_xlfn.IFS(I4&lt;750, "Low", AND(I4&gt;=750, I4&lt;=1499), "Medium", AND(I4&gt;=1500, I4&lt;=2499), "High", I4&gt;=2500, "Excellent")</f>
        <v>Medium</v>
      </c>
      <c r="L4" t="s">
        <v>19</v>
      </c>
      <c r="M4" t="s">
        <v>20</v>
      </c>
      <c r="N4" t="s">
        <v>28</v>
      </c>
    </row>
    <row r="5" spans="1:14">
      <c r="A5" s="2">
        <v>46040</v>
      </c>
      <c r="B5" t="s">
        <v>33</v>
      </c>
      <c r="C5" t="s">
        <v>34</v>
      </c>
      <c r="D5" t="s">
        <v>35</v>
      </c>
      <c r="E5" t="s">
        <v>25</v>
      </c>
      <c r="F5" t="s">
        <v>36</v>
      </c>
      <c r="G5">
        <v>3</v>
      </c>
      <c r="H5">
        <v>275</v>
      </c>
      <c r="I5">
        <v>825</v>
      </c>
      <c r="J5" s="6" t="str">
        <f t="shared" si="0"/>
        <v>Standard</v>
      </c>
      <c r="K5" s="6" t="str" cm="1">
        <f t="array" ref="K5">_xlfn.IFS(I5&lt;750, "Low", AND(I5&gt;=750, I5&lt;=1499), "Medium", AND(I5&gt;=1500, I5&lt;=2499), "High", I5&gt;=2500, "Excellent")</f>
        <v>Medium</v>
      </c>
      <c r="L5" t="s">
        <v>27</v>
      </c>
      <c r="M5" t="s">
        <v>37</v>
      </c>
      <c r="N5" t="s">
        <v>28</v>
      </c>
    </row>
    <row r="6" spans="1:14">
      <c r="A6" s="2">
        <v>46046</v>
      </c>
      <c r="B6" t="s">
        <v>14</v>
      </c>
      <c r="C6" t="s">
        <v>15</v>
      </c>
      <c r="D6" t="s">
        <v>38</v>
      </c>
      <c r="E6" t="s">
        <v>39</v>
      </c>
      <c r="F6" t="s">
        <v>40</v>
      </c>
      <c r="G6">
        <v>10</v>
      </c>
      <c r="H6">
        <v>65</v>
      </c>
      <c r="I6">
        <v>650</v>
      </c>
      <c r="J6" s="6" t="str">
        <f t="shared" si="0"/>
        <v>Standard</v>
      </c>
      <c r="K6" s="6" t="str" cm="1">
        <f t="array" ref="K6">_xlfn.IFS(I6&lt;750, "Low", AND(I6&gt;=750, I6&lt;=1499), "Medium", AND(I6&gt;=1500, I6&lt;=2499), "High", I6&gt;=2500, "Excellent")</f>
        <v>Low</v>
      </c>
      <c r="L6" t="s">
        <v>19</v>
      </c>
      <c r="M6" t="s">
        <v>20</v>
      </c>
      <c r="N6" t="s">
        <v>28</v>
      </c>
    </row>
    <row r="7" spans="1:14">
      <c r="A7" s="2">
        <v>46056</v>
      </c>
      <c r="B7" t="s">
        <v>22</v>
      </c>
      <c r="C7" t="s">
        <v>41</v>
      </c>
      <c r="D7" t="s">
        <v>42</v>
      </c>
      <c r="E7" t="s">
        <v>17</v>
      </c>
      <c r="F7" t="s">
        <v>43</v>
      </c>
      <c r="G7">
        <v>6</v>
      </c>
      <c r="H7">
        <v>420</v>
      </c>
      <c r="I7">
        <v>2520</v>
      </c>
      <c r="J7" s="6" t="str">
        <f t="shared" si="0"/>
        <v>High</v>
      </c>
      <c r="K7" s="6" t="str" cm="1">
        <f t="array" ref="K7">_xlfn.IFS(I7&lt;750, "Low", AND(I7&gt;=750, I7&lt;=1499), "Medium", AND(I7&gt;=1500, I7&lt;=2499), "High", I7&gt;=2500, "Excellent")</f>
        <v>Excellent</v>
      </c>
      <c r="L7" t="s">
        <v>19</v>
      </c>
      <c r="M7" t="s">
        <v>20</v>
      </c>
      <c r="N7" t="s">
        <v>21</v>
      </c>
    </row>
    <row r="8" spans="1:14">
      <c r="A8" s="2">
        <v>46061</v>
      </c>
      <c r="B8" t="s">
        <v>29</v>
      </c>
      <c r="C8" t="s">
        <v>44</v>
      </c>
      <c r="D8" t="s">
        <v>45</v>
      </c>
      <c r="E8" t="s">
        <v>39</v>
      </c>
      <c r="F8" t="s">
        <v>46</v>
      </c>
      <c r="G8">
        <v>8</v>
      </c>
      <c r="H8">
        <v>95</v>
      </c>
      <c r="I8">
        <v>760</v>
      </c>
      <c r="J8" s="6" t="str">
        <f t="shared" si="0"/>
        <v>Standard</v>
      </c>
      <c r="K8" s="6" t="str" cm="1">
        <f t="array" ref="K8">_xlfn.IFS(I8&lt;750, "Low", AND(I8&gt;=750, I8&lt;=1499), "Medium", AND(I8&gt;=1500, I8&lt;=2499), "High", I8&gt;=2500, "Excellent")</f>
        <v>Medium</v>
      </c>
      <c r="L8" t="s">
        <v>27</v>
      </c>
      <c r="M8" t="s">
        <v>20</v>
      </c>
      <c r="N8" t="s">
        <v>28</v>
      </c>
    </row>
    <row r="9" spans="1:14">
      <c r="A9" s="2">
        <v>46067</v>
      </c>
      <c r="B9" t="s">
        <v>33</v>
      </c>
      <c r="C9" t="s">
        <v>47</v>
      </c>
      <c r="D9" t="s">
        <v>48</v>
      </c>
      <c r="E9" t="s">
        <v>25</v>
      </c>
      <c r="F9" t="s">
        <v>49</v>
      </c>
      <c r="G9">
        <v>2</v>
      </c>
      <c r="H9">
        <v>550</v>
      </c>
      <c r="I9">
        <v>1100</v>
      </c>
      <c r="J9" s="6" t="str">
        <f t="shared" si="0"/>
        <v>Standard</v>
      </c>
      <c r="K9" s="6" t="str" cm="1">
        <f t="array" ref="K9">_xlfn.IFS(I9&lt;750, "Low", AND(I9&gt;=750, I9&lt;=1499), "Medium", AND(I9&gt;=1500, I9&lt;=2499), "High", I9&gt;=2500, "Excellent")</f>
        <v>Medium</v>
      </c>
      <c r="L9" t="s">
        <v>27</v>
      </c>
      <c r="M9" t="s">
        <v>50</v>
      </c>
      <c r="N9" t="s">
        <v>28</v>
      </c>
    </row>
    <row r="10" spans="1:14">
      <c r="A10" s="2">
        <v>46074</v>
      </c>
      <c r="B10" t="s">
        <v>14</v>
      </c>
      <c r="C10" t="s">
        <v>51</v>
      </c>
      <c r="D10" t="s">
        <v>52</v>
      </c>
      <c r="E10" t="s">
        <v>17</v>
      </c>
      <c r="F10" t="s">
        <v>18</v>
      </c>
      <c r="G10">
        <v>3</v>
      </c>
      <c r="H10">
        <v>850</v>
      </c>
      <c r="I10">
        <v>2550</v>
      </c>
      <c r="J10" s="6" t="str">
        <f t="shared" si="0"/>
        <v>High</v>
      </c>
      <c r="K10" s="6" t="str" cm="1">
        <f t="array" ref="K10">_xlfn.IFS(I10&lt;750, "Low", AND(I10&gt;=750, I10&lt;=1499), "Medium", AND(I10&gt;=1500, I10&lt;=2499), "High", I10&gt;=2500, "Excellent")</f>
        <v>Excellent</v>
      </c>
      <c r="L10" t="s">
        <v>19</v>
      </c>
      <c r="M10" t="s">
        <v>20</v>
      </c>
      <c r="N10" t="s">
        <v>21</v>
      </c>
    </row>
    <row r="11" spans="1:14">
      <c r="A11" s="2">
        <v>46080</v>
      </c>
      <c r="B11" t="s">
        <v>22</v>
      </c>
      <c r="C11" t="s">
        <v>53</v>
      </c>
      <c r="D11" t="s">
        <v>54</v>
      </c>
      <c r="E11" t="s">
        <v>39</v>
      </c>
      <c r="F11" t="s">
        <v>55</v>
      </c>
      <c r="G11">
        <v>15</v>
      </c>
      <c r="H11">
        <v>40</v>
      </c>
      <c r="I11">
        <v>600</v>
      </c>
      <c r="J11" s="6" t="str">
        <f t="shared" si="0"/>
        <v>Standard</v>
      </c>
      <c r="K11" s="6" t="str" cm="1">
        <f t="array" ref="K11">_xlfn.IFS(I11&lt;750, "Low", AND(I11&gt;=750, I11&lt;=1499), "Medium", AND(I11&gt;=1500, I11&lt;=2499), "High", I11&gt;=2500, "Excellent")</f>
        <v>Low</v>
      </c>
      <c r="L11" t="s">
        <v>19</v>
      </c>
      <c r="M11" t="s">
        <v>20</v>
      </c>
      <c r="N11" t="s">
        <v>28</v>
      </c>
    </row>
    <row r="12" spans="1:14">
      <c r="A12" s="2">
        <v>46085</v>
      </c>
      <c r="B12" t="s">
        <v>29</v>
      </c>
      <c r="C12" t="s">
        <v>30</v>
      </c>
      <c r="D12" t="s">
        <v>56</v>
      </c>
      <c r="E12" t="s">
        <v>25</v>
      </c>
      <c r="F12" t="s">
        <v>36</v>
      </c>
      <c r="G12">
        <v>4</v>
      </c>
      <c r="H12">
        <v>275</v>
      </c>
      <c r="I12">
        <v>1100</v>
      </c>
      <c r="J12" s="6" t="str">
        <f t="shared" si="0"/>
        <v>Standard</v>
      </c>
      <c r="K12" s="6" t="str" cm="1">
        <f t="array" ref="K12">_xlfn.IFS(I12&lt;750, "Low", AND(I12&gt;=750, I12&lt;=1499), "Medium", AND(I12&gt;=1500, I12&lt;=2499), "High", I12&gt;=2500, "Excellent")</f>
        <v>Medium</v>
      </c>
      <c r="L12" t="s">
        <v>27</v>
      </c>
      <c r="M12" t="s">
        <v>20</v>
      </c>
      <c r="N12" t="s">
        <v>28</v>
      </c>
    </row>
    <row r="13" spans="1:14">
      <c r="A13" s="2">
        <v>46091</v>
      </c>
      <c r="B13" t="s">
        <v>33</v>
      </c>
      <c r="C13" t="s">
        <v>57</v>
      </c>
      <c r="D13" t="s">
        <v>58</v>
      </c>
      <c r="E13" t="s">
        <v>17</v>
      </c>
      <c r="F13" t="s">
        <v>32</v>
      </c>
      <c r="G13">
        <v>5</v>
      </c>
      <c r="H13">
        <v>320</v>
      </c>
      <c r="I13">
        <v>1600</v>
      </c>
      <c r="J13" s="6" t="str">
        <f t="shared" si="0"/>
        <v>High</v>
      </c>
      <c r="K13" s="6" t="str" cm="1">
        <f t="array" ref="K13">_xlfn.IFS(I13&lt;750, "Low", AND(I13&gt;=750, I13&lt;=1499), "Medium", AND(I13&gt;=1500, I13&lt;=2499), "High", I13&gt;=2500, "Excellent")</f>
        <v>High</v>
      </c>
      <c r="L13" t="s">
        <v>19</v>
      </c>
      <c r="M13" t="s">
        <v>37</v>
      </c>
      <c r="N13" t="s">
        <v>21</v>
      </c>
    </row>
    <row r="14" spans="1:14">
      <c r="A14" s="2">
        <v>46097</v>
      </c>
      <c r="B14" t="s">
        <v>14</v>
      </c>
      <c r="C14" t="s">
        <v>15</v>
      </c>
      <c r="D14" t="s">
        <v>59</v>
      </c>
      <c r="E14" t="s">
        <v>39</v>
      </c>
      <c r="F14" t="s">
        <v>40</v>
      </c>
      <c r="G14">
        <v>12</v>
      </c>
      <c r="H14">
        <v>65</v>
      </c>
      <c r="I14">
        <v>780</v>
      </c>
      <c r="J14" s="6" t="str">
        <f t="shared" si="0"/>
        <v>Standard</v>
      </c>
      <c r="K14" s="6" t="str" cm="1">
        <f t="array" ref="K14">_xlfn.IFS(I14&lt;750, "Low", AND(I14&gt;=750, I14&lt;=1499), "Medium", AND(I14&gt;=1500, I14&lt;=2499), "High", I14&gt;=2500, "Excellent")</f>
        <v>Medium</v>
      </c>
      <c r="L14" t="s">
        <v>27</v>
      </c>
      <c r="M14" t="s">
        <v>20</v>
      </c>
      <c r="N14" t="s">
        <v>28</v>
      </c>
    </row>
    <row r="15" spans="1:14">
      <c r="A15" s="2">
        <v>46103</v>
      </c>
      <c r="B15" t="s">
        <v>22</v>
      </c>
      <c r="C15" t="s">
        <v>23</v>
      </c>
      <c r="D15" t="s">
        <v>60</v>
      </c>
      <c r="E15" t="s">
        <v>25</v>
      </c>
      <c r="F15" t="s">
        <v>26</v>
      </c>
      <c r="G15">
        <v>7</v>
      </c>
      <c r="H15">
        <v>180</v>
      </c>
      <c r="I15">
        <v>1260</v>
      </c>
      <c r="J15" s="6" t="str">
        <f t="shared" si="0"/>
        <v>Standard</v>
      </c>
      <c r="K15" s="6" t="str" cm="1">
        <f t="array" ref="K15">_xlfn.IFS(I15&lt;750, "Low", AND(I15&gt;=750, I15&lt;=1499), "Medium", AND(I15&gt;=1500, I15&lt;=2499), "High", I15&gt;=2500, "Excellent")</f>
        <v>Medium</v>
      </c>
      <c r="L15" t="s">
        <v>19</v>
      </c>
      <c r="M15" t="s">
        <v>20</v>
      </c>
      <c r="N15" t="s">
        <v>28</v>
      </c>
    </row>
    <row r="16" spans="1:14">
      <c r="A16" s="2">
        <v>46109</v>
      </c>
      <c r="B16" t="s">
        <v>29</v>
      </c>
      <c r="C16" t="s">
        <v>44</v>
      </c>
      <c r="D16" t="s">
        <v>61</v>
      </c>
      <c r="E16" t="s">
        <v>17</v>
      </c>
      <c r="F16" t="s">
        <v>43</v>
      </c>
      <c r="G16">
        <v>3</v>
      </c>
      <c r="H16">
        <v>420</v>
      </c>
      <c r="I16">
        <v>1260</v>
      </c>
      <c r="J16" s="6" t="str">
        <f t="shared" si="0"/>
        <v>Standard</v>
      </c>
      <c r="K16" s="6" t="str" cm="1">
        <f t="array" ref="K16">_xlfn.IFS(I16&lt;750, "Low", AND(I16&gt;=750, I16&lt;=1499), "Medium", AND(I16&gt;=1500, I16&lt;=2499), "High", I16&gt;=2500, "Excellent")</f>
        <v>Medium</v>
      </c>
      <c r="L16" t="s">
        <v>27</v>
      </c>
      <c r="M16" t="s">
        <v>20</v>
      </c>
      <c r="N16" t="s">
        <v>28</v>
      </c>
    </row>
    <row r="17" spans="1:14">
      <c r="A17" s="2">
        <v>46115</v>
      </c>
      <c r="B17" t="s">
        <v>33</v>
      </c>
      <c r="C17" t="s">
        <v>34</v>
      </c>
      <c r="D17" t="s">
        <v>62</v>
      </c>
      <c r="E17" t="s">
        <v>39</v>
      </c>
      <c r="F17" t="s">
        <v>46</v>
      </c>
      <c r="G17">
        <v>10</v>
      </c>
      <c r="H17">
        <v>95</v>
      </c>
      <c r="I17">
        <v>950</v>
      </c>
      <c r="J17" s="6" t="str">
        <f t="shared" si="0"/>
        <v>Standard</v>
      </c>
      <c r="K17" s="6" t="str" cm="1">
        <f t="array" ref="K17">_xlfn.IFS(I17&lt;750, "Low", AND(I17&gt;=750, I17&lt;=1499), "Medium", AND(I17&gt;=1500, I17&lt;=2499), "High", I17&gt;=2500, "Excellent")</f>
        <v>Medium</v>
      </c>
      <c r="L17" t="s">
        <v>19</v>
      </c>
      <c r="M17" t="s">
        <v>20</v>
      </c>
      <c r="N17" t="s">
        <v>28</v>
      </c>
    </row>
    <row r="18" spans="1:14">
      <c r="A18" s="2">
        <v>46121</v>
      </c>
      <c r="B18" t="s">
        <v>14</v>
      </c>
      <c r="C18" t="s">
        <v>51</v>
      </c>
      <c r="D18" t="s">
        <v>63</v>
      </c>
      <c r="E18" t="s">
        <v>25</v>
      </c>
      <c r="F18" t="s">
        <v>49</v>
      </c>
      <c r="G18">
        <v>4</v>
      </c>
      <c r="H18">
        <v>550</v>
      </c>
      <c r="I18">
        <v>2200</v>
      </c>
      <c r="J18" s="6" t="str">
        <f t="shared" si="0"/>
        <v>High</v>
      </c>
      <c r="K18" s="6" t="str" cm="1">
        <f t="array" ref="K18">_xlfn.IFS(I18&lt;750, "Low", AND(I18&gt;=750, I18&lt;=1499), "Medium", AND(I18&gt;=1500, I18&lt;=2499), "High", I18&gt;=2500, "Excellent")</f>
        <v>High</v>
      </c>
      <c r="L18" t="s">
        <v>27</v>
      </c>
      <c r="M18" t="s">
        <v>20</v>
      </c>
      <c r="N18" t="s">
        <v>21</v>
      </c>
    </row>
    <row r="19" spans="1:14">
      <c r="A19" s="2">
        <v>46127</v>
      </c>
      <c r="B19" t="s">
        <v>22</v>
      </c>
      <c r="C19" t="s">
        <v>41</v>
      </c>
      <c r="D19" t="s">
        <v>64</v>
      </c>
      <c r="E19" t="s">
        <v>17</v>
      </c>
      <c r="F19" t="s">
        <v>18</v>
      </c>
      <c r="G19">
        <v>1</v>
      </c>
      <c r="H19">
        <v>850</v>
      </c>
      <c r="I19">
        <v>850</v>
      </c>
      <c r="J19" s="6" t="str">
        <f t="shared" si="0"/>
        <v>Standard</v>
      </c>
      <c r="K19" s="6" t="str" cm="1">
        <f t="array" ref="K19">_xlfn.IFS(I19&lt;750, "Low", AND(I19&gt;=750, I19&lt;=1499), "Medium", AND(I19&gt;=1500, I19&lt;=2499), "High", I19&gt;=2500, "Excellent")</f>
        <v>Medium</v>
      </c>
      <c r="L19" t="s">
        <v>19</v>
      </c>
      <c r="M19" t="s">
        <v>37</v>
      </c>
      <c r="N19" t="s">
        <v>28</v>
      </c>
    </row>
    <row r="20" spans="1:14">
      <c r="A20" s="2">
        <v>46133</v>
      </c>
      <c r="B20" t="s">
        <v>29</v>
      </c>
      <c r="C20" t="s">
        <v>30</v>
      </c>
      <c r="D20" t="s">
        <v>65</v>
      </c>
      <c r="E20" t="s">
        <v>39</v>
      </c>
      <c r="F20" t="s">
        <v>55</v>
      </c>
      <c r="G20">
        <v>20</v>
      </c>
      <c r="H20">
        <v>40</v>
      </c>
      <c r="I20">
        <v>800</v>
      </c>
      <c r="J20" s="6" t="str">
        <f t="shared" si="0"/>
        <v>Standard</v>
      </c>
      <c r="K20" s="6" t="str" cm="1">
        <f t="array" ref="K20">_xlfn.IFS(I20&lt;750, "Low", AND(I20&gt;=750, I20&lt;=1499), "Medium", AND(I20&gt;=1500, I20&lt;=2499), "High", I20&gt;=2500, "Excellent")</f>
        <v>Medium</v>
      </c>
      <c r="L20" t="s">
        <v>27</v>
      </c>
      <c r="M20" t="s">
        <v>20</v>
      </c>
      <c r="N20" t="s">
        <v>28</v>
      </c>
    </row>
    <row r="21" spans="1:14">
      <c r="A21" s="2">
        <v>46139</v>
      </c>
      <c r="B21" t="s">
        <v>33</v>
      </c>
      <c r="C21" t="s">
        <v>47</v>
      </c>
      <c r="D21" t="s">
        <v>66</v>
      </c>
      <c r="E21" t="s">
        <v>25</v>
      </c>
      <c r="F21" t="s">
        <v>36</v>
      </c>
      <c r="G21">
        <v>2</v>
      </c>
      <c r="H21">
        <v>275</v>
      </c>
      <c r="I21">
        <v>550</v>
      </c>
      <c r="J21" s="6" t="str">
        <f t="shared" si="0"/>
        <v>Standard</v>
      </c>
      <c r="K21" s="6" t="str" cm="1">
        <f t="array" ref="K21">_xlfn.IFS(I21&lt;750, "Low", AND(I21&gt;=750, I21&lt;=1499), "Medium", AND(I21&gt;=1500, I21&lt;=2499), "High", I21&gt;=2500, "Excellent")</f>
        <v>Low</v>
      </c>
      <c r="L21" t="s">
        <v>19</v>
      </c>
      <c r="M21" t="s">
        <v>50</v>
      </c>
      <c r="N21" t="s">
        <v>28</v>
      </c>
    </row>
    <row r="22" spans="1:14">
      <c r="A22" s="2">
        <v>46144</v>
      </c>
      <c r="B22" t="s">
        <v>14</v>
      </c>
      <c r="C22" t="s">
        <v>15</v>
      </c>
      <c r="D22" t="s">
        <v>67</v>
      </c>
      <c r="E22" t="s">
        <v>17</v>
      </c>
      <c r="F22" t="s">
        <v>32</v>
      </c>
      <c r="G22">
        <v>8</v>
      </c>
      <c r="H22">
        <v>320</v>
      </c>
      <c r="I22">
        <v>2560</v>
      </c>
      <c r="J22" s="6" t="str">
        <f t="shared" si="0"/>
        <v>High</v>
      </c>
      <c r="K22" s="6" t="str" cm="1">
        <f t="array" ref="K22">_xlfn.IFS(I22&lt;750, "Low", AND(I22&gt;=750, I22&lt;=1499), "Medium", AND(I22&gt;=1500, I22&lt;=2499), "High", I22&gt;=2500, "Excellent")</f>
        <v>Excellent</v>
      </c>
      <c r="L22" t="s">
        <v>19</v>
      </c>
      <c r="M22" t="s">
        <v>20</v>
      </c>
      <c r="N22" t="s">
        <v>21</v>
      </c>
    </row>
    <row r="23" spans="1:14">
      <c r="A23" s="2">
        <v>46150</v>
      </c>
      <c r="B23" t="s">
        <v>22</v>
      </c>
      <c r="C23" t="s">
        <v>53</v>
      </c>
      <c r="D23" t="s">
        <v>68</v>
      </c>
      <c r="E23" t="s">
        <v>39</v>
      </c>
      <c r="F23" t="s">
        <v>40</v>
      </c>
      <c r="G23">
        <v>18</v>
      </c>
      <c r="H23">
        <v>65</v>
      </c>
      <c r="I23">
        <v>1170</v>
      </c>
      <c r="J23" s="6" t="str">
        <f t="shared" si="0"/>
        <v>Standard</v>
      </c>
      <c r="K23" s="6" t="str" cm="1">
        <f t="array" ref="K23">_xlfn.IFS(I23&lt;750, "Low", AND(I23&gt;=750, I23&lt;=1499), "Medium", AND(I23&gt;=1500, I23&lt;=2499), "High", I23&gt;=2500, "Excellent")</f>
        <v>Medium</v>
      </c>
      <c r="L23" t="s">
        <v>27</v>
      </c>
      <c r="M23" t="s">
        <v>20</v>
      </c>
      <c r="N23" t="s">
        <v>28</v>
      </c>
    </row>
    <row r="24" spans="1:14">
      <c r="A24" s="2">
        <v>46156</v>
      </c>
      <c r="B24" t="s">
        <v>29</v>
      </c>
      <c r="C24" t="s">
        <v>44</v>
      </c>
      <c r="D24" t="s">
        <v>69</v>
      </c>
      <c r="E24" t="s">
        <v>25</v>
      </c>
      <c r="F24" t="s">
        <v>26</v>
      </c>
      <c r="G24">
        <v>6</v>
      </c>
      <c r="H24">
        <v>180</v>
      </c>
      <c r="I24">
        <v>1080</v>
      </c>
      <c r="J24" s="6" t="str">
        <f t="shared" si="0"/>
        <v>Standard</v>
      </c>
      <c r="K24" s="6" t="str" cm="1">
        <f t="array" ref="K24">_xlfn.IFS(I24&lt;750, "Low", AND(I24&gt;=750, I24&lt;=1499), "Medium", AND(I24&gt;=1500, I24&lt;=2499), "High", I24&gt;=2500, "Excellent")</f>
        <v>Medium</v>
      </c>
      <c r="L24" t="s">
        <v>19</v>
      </c>
      <c r="M24" t="s">
        <v>20</v>
      </c>
      <c r="N24" t="s">
        <v>28</v>
      </c>
    </row>
    <row r="25" spans="1:14">
      <c r="A25" s="2">
        <v>46162</v>
      </c>
      <c r="B25" t="s">
        <v>33</v>
      </c>
      <c r="C25" t="s">
        <v>57</v>
      </c>
      <c r="D25" t="s">
        <v>70</v>
      </c>
      <c r="E25" t="s">
        <v>17</v>
      </c>
      <c r="F25" t="s">
        <v>43</v>
      </c>
      <c r="G25">
        <v>5</v>
      </c>
      <c r="H25">
        <v>420</v>
      </c>
      <c r="I25">
        <v>2100</v>
      </c>
      <c r="J25" s="6" t="str">
        <f t="shared" si="0"/>
        <v>High</v>
      </c>
      <c r="K25" s="6" t="str" cm="1">
        <f t="array" ref="K25">_xlfn.IFS(I25&lt;750, "Low", AND(I25&gt;=750, I25&lt;=1499), "Medium", AND(I25&gt;=1500, I25&lt;=2499), "High", I25&gt;=2500, "Excellent")</f>
        <v>High</v>
      </c>
      <c r="L25" t="s">
        <v>27</v>
      </c>
      <c r="M25" t="s">
        <v>20</v>
      </c>
      <c r="N25" t="s">
        <v>21</v>
      </c>
    </row>
    <row r="26" spans="1:14">
      <c r="A26" s="2">
        <v>46168</v>
      </c>
      <c r="B26" t="s">
        <v>14</v>
      </c>
      <c r="C26" t="s">
        <v>51</v>
      </c>
      <c r="D26" t="s">
        <v>71</v>
      </c>
      <c r="E26" t="s">
        <v>39</v>
      </c>
      <c r="F26" t="s">
        <v>46</v>
      </c>
      <c r="G26">
        <v>7</v>
      </c>
      <c r="H26">
        <v>95</v>
      </c>
      <c r="I26">
        <v>665</v>
      </c>
      <c r="J26" s="6" t="str">
        <f t="shared" si="0"/>
        <v>Standard</v>
      </c>
      <c r="K26" s="6" t="str" cm="1">
        <f t="array" ref="K26">_xlfn.IFS(I26&lt;750, "Low", AND(I26&gt;=750, I26&lt;=1499), "Medium", AND(I26&gt;=1500, I26&lt;=2499), "High", I26&gt;=2500, "Excellent")</f>
        <v>Low</v>
      </c>
      <c r="L26" t="s">
        <v>19</v>
      </c>
      <c r="M26" t="s">
        <v>20</v>
      </c>
      <c r="N26" t="s">
        <v>28</v>
      </c>
    </row>
    <row r="27" spans="1:14">
      <c r="A27" s="2">
        <v>46174</v>
      </c>
      <c r="B27" t="s">
        <v>22</v>
      </c>
      <c r="C27" t="s">
        <v>23</v>
      </c>
      <c r="D27" t="s">
        <v>72</v>
      </c>
      <c r="E27" t="s">
        <v>25</v>
      </c>
      <c r="F27" t="s">
        <v>49</v>
      </c>
      <c r="G27">
        <v>3</v>
      </c>
      <c r="H27">
        <v>550</v>
      </c>
      <c r="I27">
        <v>1650</v>
      </c>
      <c r="J27" s="6" t="str">
        <f t="shared" si="0"/>
        <v>High</v>
      </c>
      <c r="K27" s="6" t="str" cm="1">
        <f t="array" ref="K27">_xlfn.IFS(I27&lt;750, "Low", AND(I27&gt;=750, I27&lt;=1499), "Medium", AND(I27&gt;=1500, I27&lt;=2499), "High", I27&gt;=2500, "Excellent")</f>
        <v>High</v>
      </c>
      <c r="L27" t="s">
        <v>27</v>
      </c>
      <c r="M27" t="s">
        <v>37</v>
      </c>
      <c r="N27" t="s">
        <v>21</v>
      </c>
    </row>
    <row r="28" spans="1:14">
      <c r="A28" s="2">
        <v>46180</v>
      </c>
      <c r="B28" t="s">
        <v>29</v>
      </c>
      <c r="C28" t="s">
        <v>30</v>
      </c>
      <c r="D28" t="s">
        <v>73</v>
      </c>
      <c r="E28" t="s">
        <v>17</v>
      </c>
      <c r="F28" t="s">
        <v>18</v>
      </c>
      <c r="G28">
        <v>4</v>
      </c>
      <c r="H28">
        <v>850</v>
      </c>
      <c r="I28">
        <v>3400</v>
      </c>
      <c r="J28" s="6" t="str">
        <f t="shared" si="0"/>
        <v>High</v>
      </c>
      <c r="K28" s="6" t="str" cm="1">
        <f t="array" ref="K28">_xlfn.IFS(I28&lt;750, "Low", AND(I28&gt;=750, I28&lt;=1499), "Medium", AND(I28&gt;=1500, I28&lt;=2499), "High", I28&gt;=2500, "Excellent")</f>
        <v>Excellent</v>
      </c>
      <c r="L28" t="s">
        <v>19</v>
      </c>
      <c r="M28" t="s">
        <v>20</v>
      </c>
      <c r="N28" t="s">
        <v>21</v>
      </c>
    </row>
    <row r="29" spans="1:14">
      <c r="A29" s="2">
        <v>46186</v>
      </c>
      <c r="B29" t="s">
        <v>33</v>
      </c>
      <c r="C29" t="s">
        <v>34</v>
      </c>
      <c r="D29" t="s">
        <v>74</v>
      </c>
      <c r="E29" t="s">
        <v>39</v>
      </c>
      <c r="F29" t="s">
        <v>55</v>
      </c>
      <c r="G29">
        <v>25</v>
      </c>
      <c r="H29">
        <v>40</v>
      </c>
      <c r="I29">
        <v>1000</v>
      </c>
      <c r="J29" s="6" t="str">
        <f t="shared" si="0"/>
        <v>Standard</v>
      </c>
      <c r="K29" s="6" t="str" cm="1">
        <f t="array" ref="K29">_xlfn.IFS(I29&lt;750, "Low", AND(I29&gt;=750, I29&lt;=1499), "Medium", AND(I29&gt;=1500, I29&lt;=2499), "High", I29&gt;=2500, "Excellent")</f>
        <v>Medium</v>
      </c>
      <c r="L29" t="s">
        <v>19</v>
      </c>
      <c r="M29" t="s">
        <v>20</v>
      </c>
      <c r="N29" t="s">
        <v>28</v>
      </c>
    </row>
    <row r="30" spans="1:14">
      <c r="A30" s="2">
        <v>46192</v>
      </c>
      <c r="B30" t="s">
        <v>14</v>
      </c>
      <c r="C30" t="s">
        <v>15</v>
      </c>
      <c r="D30" t="s">
        <v>75</v>
      </c>
      <c r="E30" t="s">
        <v>25</v>
      </c>
      <c r="F30" t="s">
        <v>36</v>
      </c>
      <c r="G30">
        <v>5</v>
      </c>
      <c r="H30">
        <v>275</v>
      </c>
      <c r="I30">
        <v>1375</v>
      </c>
      <c r="J30" s="6" t="str">
        <f t="shared" si="0"/>
        <v>Standard</v>
      </c>
      <c r="K30" s="6" t="str" cm="1">
        <f t="array" ref="K30">_xlfn.IFS(I30&lt;750, "Low", AND(I30&gt;=750, I30&lt;=1499), "Medium", AND(I30&gt;=1500, I30&lt;=2499), "High", I30&gt;=2500, "Excellent")</f>
        <v>Medium</v>
      </c>
      <c r="L30" t="s">
        <v>27</v>
      </c>
      <c r="M30" t="s">
        <v>20</v>
      </c>
      <c r="N30" t="s">
        <v>28</v>
      </c>
    </row>
    <row r="31" spans="1:14">
      <c r="A31" s="2">
        <v>46198</v>
      </c>
      <c r="B31" t="s">
        <v>22</v>
      </c>
      <c r="C31" t="s">
        <v>41</v>
      </c>
      <c r="D31" t="s">
        <v>76</v>
      </c>
      <c r="E31" t="s">
        <v>17</v>
      </c>
      <c r="F31" t="s">
        <v>32</v>
      </c>
      <c r="G31">
        <v>2</v>
      </c>
      <c r="H31">
        <v>320</v>
      </c>
      <c r="I31">
        <v>640</v>
      </c>
      <c r="J31" s="6" t="str">
        <f t="shared" si="0"/>
        <v>Standard</v>
      </c>
      <c r="K31" s="6" t="str" cm="1">
        <f t="array" ref="K31">_xlfn.IFS(I31&lt;750, "Low", AND(I31&gt;=750, I31&lt;=1499), "Medium", AND(I31&gt;=1500, I31&lt;=2499), "High", I31&gt;=2500, "Excellent")</f>
        <v>Low</v>
      </c>
      <c r="L31" t="s">
        <v>19</v>
      </c>
      <c r="M31" t="s">
        <v>50</v>
      </c>
      <c r="N31" t="s">
        <v>28</v>
      </c>
    </row>
  </sheetData>
  <autoFilter ref="A1:N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6EF7-38D2-4700-A08C-549C6A93CE37}">
  <dimension ref="A1:C8"/>
  <sheetViews>
    <sheetView tabSelected="1" workbookViewId="0">
      <selection activeCell="C10" sqref="C10"/>
    </sheetView>
  </sheetViews>
  <sheetFormatPr defaultRowHeight="17.25"/>
  <cols>
    <col min="1" max="1" width="56" style="3" bestFit="1" customWidth="1"/>
    <col min="2" max="2" width="9.140625" style="3"/>
    <col min="3" max="3" width="15.5703125" style="3" bestFit="1" customWidth="1"/>
    <col min="4" max="16384" width="9.140625" style="3"/>
  </cols>
  <sheetData>
    <row r="1" spans="1:3">
      <c r="A1" s="3" t="s">
        <v>77</v>
      </c>
      <c r="C1" s="3">
        <f>SUM(Sales!H:H)</f>
        <v>9830</v>
      </c>
    </row>
    <row r="2" spans="1:3">
      <c r="A2" s="3" t="s">
        <v>78</v>
      </c>
      <c r="C2" s="3">
        <f>C1/COUNTA(Sales!A2:A31)</f>
        <v>327.66666666666669</v>
      </c>
    </row>
    <row r="3" spans="1:3">
      <c r="A3" s="3" t="s">
        <v>79</v>
      </c>
      <c r="C3" s="3">
        <f>MIN(Sales!I:I)</f>
        <v>550</v>
      </c>
    </row>
    <row r="4" spans="1:3">
      <c r="A4" s="3" t="s">
        <v>80</v>
      </c>
      <c r="C4" s="3">
        <f>MAX(Sales!I:I)</f>
        <v>3400</v>
      </c>
    </row>
    <row r="5" spans="1:3">
      <c r="A5" s="3" t="s">
        <v>81</v>
      </c>
      <c r="C5" s="3">
        <f>COUNT(Sales!I:I)</f>
        <v>30</v>
      </c>
    </row>
    <row r="6" spans="1:3">
      <c r="A6" s="3" t="s">
        <v>82</v>
      </c>
      <c r="C6" s="3">
        <f>COUNTA(Sales!A2:A31)</f>
        <v>30</v>
      </c>
    </row>
    <row r="7" spans="1:3">
      <c r="A7" s="3" t="s">
        <v>83</v>
      </c>
      <c r="C7" s="3" t="s">
        <v>84</v>
      </c>
    </row>
    <row r="8" spans="1:3">
      <c r="A8" s="3" t="s">
        <v>85</v>
      </c>
      <c r="C8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2026-09-06T02:27:10Z</dcterms:created>
  <dcterms:modified xsi:type="dcterms:W3CDTF">2026-09-06T03:08:26Z</dcterms:modified>
  <cp:category/>
  <cp:contentStatus/>
</cp:coreProperties>
</file>